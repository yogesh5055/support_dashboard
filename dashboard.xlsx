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h\Downloads\"/>
    </mc:Choice>
  </mc:AlternateContent>
  <xr:revisionPtr revIDLastSave="0" documentId="8_{DC9CCB8B-94D5-4B8C-85A5-8CF6AF1DA112}" xr6:coauthVersionLast="47" xr6:coauthVersionMax="47" xr10:uidLastSave="{00000000-0000-0000-0000-000000000000}"/>
  <bookViews>
    <workbookView xWindow="-108" yWindow="-108" windowWidth="23256" windowHeight="12456" xr2:uid="{76D6DC4F-778F-41FA-BEA7-81049BF24516}"/>
  </bookViews>
  <sheets>
    <sheet name="Sheet4" sheetId="4" r:id="rId1"/>
    <sheet name="Sheet1" sheetId="1" r:id="rId2"/>
    <sheet name="Sheet3" sheetId="3" r:id="rId3"/>
    <sheet name="Sheet2" sheetId="2" r:id="rId4"/>
  </sheets>
  <externalReferences>
    <externalReference r:id="rId5"/>
  </externalReferenc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<sst xmlns="http://schemas.openxmlformats.org/spreadsheetml/2006/main" count="119" uniqueCount="56">
  <si>
    <t>Ticket_ID</t>
  </si>
  <si>
    <t>Issue_Type</t>
  </si>
  <si>
    <t>Priority</t>
  </si>
  <si>
    <t>Assigned_To</t>
  </si>
  <si>
    <t>Resolution_Time</t>
  </si>
  <si>
    <t>Status</t>
  </si>
  <si>
    <t>T001</t>
  </si>
  <si>
    <t>Login Issue</t>
  </si>
  <si>
    <t>High</t>
  </si>
  <si>
    <t>Ram</t>
  </si>
  <si>
    <t>Resolved</t>
  </si>
  <si>
    <t>T002</t>
  </si>
  <si>
    <t>Payment Failure</t>
  </si>
  <si>
    <t>Medium</t>
  </si>
  <si>
    <t>Priya</t>
  </si>
  <si>
    <t>T003</t>
  </si>
  <si>
    <t>Slow System</t>
  </si>
  <si>
    <t>John</t>
  </si>
  <si>
    <t>Pending</t>
  </si>
  <si>
    <t>T004</t>
  </si>
  <si>
    <t>App Crash</t>
  </si>
  <si>
    <t>T005</t>
  </si>
  <si>
    <t>Password Reset</t>
  </si>
  <si>
    <t>Low</t>
  </si>
  <si>
    <t>Meena</t>
  </si>
  <si>
    <t>T006</t>
  </si>
  <si>
    <t>UI Bug</t>
  </si>
  <si>
    <t>T007</t>
  </si>
  <si>
    <t>Data Sync Error</t>
  </si>
  <si>
    <t>Escalated</t>
  </si>
  <si>
    <t>T008</t>
  </si>
  <si>
    <t>Notification Bug</t>
  </si>
  <si>
    <t>T009</t>
  </si>
  <si>
    <t>Feature Request</t>
  </si>
  <si>
    <t>Closed</t>
  </si>
  <si>
    <t>T010</t>
  </si>
  <si>
    <t>Crash on Startup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</si>
  <si>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</si>
  <si>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</si>
  <si>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</si>
  <si>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</si>
  <si>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</si>
  <si>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</si>
  <si>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</si>
  <si>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</si>
  <si>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</si>
  <si>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</si>
  <si>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Total Tickets</t>
  </si>
  <si>
    <t>High Priority Tickets</t>
  </si>
  <si>
    <t>Support Ticket Summary</t>
  </si>
  <si>
    <t xml:space="preserve">Average Resolution Time </t>
  </si>
  <si>
    <t>SLA Breaches</t>
  </si>
  <si>
    <t>% SLA Breached</t>
  </si>
  <si>
    <t>Row Labels</t>
  </si>
  <si>
    <t>Grand Total</t>
  </si>
  <si>
    <t>Count of Ticket_ID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</si>
</sst>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Sheet4!$A$4:$A$8</c:f>
              <c:strCache>
                <c:ptCount val="4"/>
                <c:pt idx="0">
                  <c:v>Closed</c:v>
                </c:pt>
                <c:pt idx="1">
                  <c:v>Escalated</c:v>
                </c:pt>
                <c:pt idx="2">
                  <c:v>Pending</c:v>
                </c:pt>
                <c:pt idx="3">
                  <c:v>Resolved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B-412E-BE92-B4C9BA51B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1</xdr:row>
      <xdr:rowOff>49530</xdr:rowOff>
    </xdr:from>
    <xdr:to>
      <xdr:col>13</xdr:col>
      <xdr:colOff>533400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AF5AE-8371-EDE1-967B-BC3766882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sh" refreshedDate="45993.822283912035" createdVersion="8" refreshedVersion="8" minRefreshableVersion="3" recordCount="20" xr:uid="{8596E9B6-20C9-47FA-BE18-EE051771FC0E}">
  <cacheSource type="worksheet">
    <worksheetSource ref="A1:F21" sheet="Sheet1"/>
  </cacheSource>
  <cacheFields count="6">
    <cacheField name="Ticket_ID" numFmtId="0">
      <sharedItems/>
    </cacheField>
    <cacheField name="Issue_Type" numFmtId="0">
      <sharedItems/>
    </cacheField>
    <cacheField name="Priority" numFmtId="0">
      <sharedItems count="3">
        <s v="High"/>
        <s v="Medium"/>
        <s v="Low"/>
      </sharedItems>
    </cacheField>
    <cacheField name="Assigned_To" numFmtId="0">
      <sharedItems/>
    </cacheField>
    <cacheField name="Resolution_Time" numFmtId="0">
      <sharedItems containsSemiMixedTypes="0" containsString="0" containsNumber="1" containsInteger="1" minValue="1" maxValue="16"/>
    </cacheField>
    <cacheField name="Status" numFmtId="0">
      <sharedItems count="4">
        <s v="Resolved"/>
        <s v="Pending"/>
        <s v="Escalated"/>
        <s v="Clo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001"/>
    <s v="Login Issue"/>
    <x v="0"/>
    <s v="Ram"/>
    <n v="5"/>
    <x v="0"/>
  </r>
  <r>
    <s v="T002"/>
    <s v="Payment Failure"/>
    <x v="1"/>
    <s v="Priya"/>
    <n v="8"/>
    <x v="0"/>
  </r>
  <r>
    <s v="T003"/>
    <s v="Slow System"/>
    <x v="0"/>
    <s v="John"/>
    <n v="12"/>
    <x v="1"/>
  </r>
  <r>
    <s v="T004"/>
    <s v="App Crash"/>
    <x v="0"/>
    <s v="Ram"/>
    <n v="4"/>
    <x v="0"/>
  </r>
  <r>
    <s v="T005"/>
    <s v="Password Reset"/>
    <x v="2"/>
    <s v="Meena"/>
    <n v="1"/>
    <x v="0"/>
  </r>
  <r>
    <s v="T006"/>
    <s v="UI Bug"/>
    <x v="1"/>
    <s v="Priya"/>
    <n v="6"/>
    <x v="0"/>
  </r>
  <r>
    <s v="T007"/>
    <s v="Data Sync Error"/>
    <x v="0"/>
    <s v="John"/>
    <n v="15"/>
    <x v="2"/>
  </r>
  <r>
    <s v="T008"/>
    <s v="Notification Bug"/>
    <x v="2"/>
    <s v="Meena"/>
    <n v="3"/>
    <x v="0"/>
  </r>
  <r>
    <s v="T009"/>
    <s v="Feature Request"/>
    <x v="2"/>
    <s v="Ram"/>
    <n v="10"/>
    <x v="3"/>
  </r>
  <r>
    <s v="T010"/>
    <s v="Crash on Startup"/>
    <x v="0"/>
    <s v="Priya"/>
    <n v="7"/>
    <x v="0"/>
  </r>
  <r>
    <s v="T011"/>
    <s v="Login Issue"/>
    <x v="1"/>
    <s v="John"/>
    <n v="9"/>
    <x v="0"/>
  </r>
  <r>
    <s v="T012"/>
    <s v="Payment Failure"/>
    <x v="0"/>
    <s v="Priya"/>
    <n v="14"/>
    <x v="2"/>
  </r>
  <r>
    <s v="T013"/>
    <s v="Slow System"/>
    <x v="1"/>
    <s v="Ram"/>
    <n v="11"/>
    <x v="1"/>
  </r>
  <r>
    <s v="T014"/>
    <s v="App Crash"/>
    <x v="0"/>
    <s v="Meena"/>
    <n v="5"/>
    <x v="0"/>
  </r>
  <r>
    <s v="T015"/>
    <s v="Password Reset"/>
    <x v="2"/>
    <s v="John"/>
    <n v="2"/>
    <x v="0"/>
  </r>
  <r>
    <s v="T016"/>
    <s v="Data Sync Error"/>
    <x v="0"/>
    <s v="Priya"/>
    <n v="13"/>
    <x v="3"/>
  </r>
  <r>
    <s v="T017"/>
    <s v="UI Bug"/>
    <x v="1"/>
    <s v="Ram"/>
    <n v="6"/>
    <x v="0"/>
  </r>
  <r>
    <s v="T018"/>
    <s v="Payment Failure"/>
    <x v="0"/>
    <s v="John"/>
    <n v="16"/>
    <x v="2"/>
  </r>
  <r>
    <s v="T019"/>
    <s v="App Crash"/>
    <x v="0"/>
    <s v="Priya"/>
    <n v="8"/>
    <x v="0"/>
  </r>
  <r>
    <s v="T020"/>
    <s v="Feature Request"/>
    <x v="2"/>
    <s v="Meena"/>
    <n v="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1D574-D118-4381-A3CF-64C07CD7E70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6">
    <pivotField dataField="1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C3CA-910E-42DE-ADC7-1FAE0231A955}">
  <dimension ref="A3:B8"/>
  <sheetViews>
    <sheetView tabSelected="1" workbookViewId="0">
      <selection activeCell="V1" sqref="V1:V1048576"/>
    </sheetView>
  </sheetViews>
  <sheetFormatPr defaultRowHeight="14.4" x14ac:dyDescent="0.3"/>
  <cols>
    <col min="1" max="1" width="12.5546875" bestFit="1" customWidth="1"/>
    <col min="2" max="2" width="16.6640625" bestFit="1" customWidth="1"/>
  </cols>
  <sheetData>
    <row r="3" spans="1:2" x14ac:dyDescent="0.3">
      <c r="A3" s="5" t="s">
        <v>53</v>
      </c>
      <c r="B3" t="s">
        <v>55</v>
      </c>
    </row>
    <row r="4" spans="1:2" x14ac:dyDescent="0.3">
      <c r="A4" s="6" t="s">
        <v>34</v>
      </c>
      <c r="B4" s="7">
        <v>3</v>
      </c>
    </row>
    <row r="5" spans="1:2" x14ac:dyDescent="0.3">
      <c r="A5" s="6" t="s">
        <v>29</v>
      </c>
      <c r="B5" s="7">
        <v>3</v>
      </c>
    </row>
    <row r="6" spans="1:2" x14ac:dyDescent="0.3">
      <c r="A6" s="6" t="s">
        <v>18</v>
      </c>
      <c r="B6" s="7">
        <v>2</v>
      </c>
    </row>
    <row r="7" spans="1:2" x14ac:dyDescent="0.3">
      <c r="A7" s="6" t="s">
        <v>10</v>
      </c>
      <c r="B7" s="7">
        <v>12</v>
      </c>
    </row>
    <row r="8" spans="1:2" x14ac:dyDescent="0.3">
      <c r="A8" s="6" t="s">
        <v>54</v>
      </c>
      <c r="B8" s="7">
        <v>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2878-CC48-4397-953C-235636BB49B8}">
  <dimension ref="A1:I21"/>
  <sheetViews>
    <sheetView workbookViewId="0">
      <selection activeCell="A2" sqref="A2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3"/>
      <c r="I1" s="3"/>
    </row>
    <row r="2" spans="1:9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5</v>
      </c>
      <c r="F2" s="2" t="s">
        <v>10</v>
      </c>
    </row>
    <row r="3" spans="1:9" ht="28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>
        <v>8</v>
      </c>
      <c r="F3" s="2" t="s">
        <v>10</v>
      </c>
    </row>
    <row r="4" spans="1:9" ht="28.8" x14ac:dyDescent="0.3">
      <c r="A4" s="2" t="s">
        <v>15</v>
      </c>
      <c r="B4" s="2" t="s">
        <v>16</v>
      </c>
      <c r="C4" s="2" t="s">
        <v>8</v>
      </c>
      <c r="D4" s="2" t="s">
        <v>17</v>
      </c>
      <c r="E4" s="2">
        <v>12</v>
      </c>
      <c r="F4" s="2" t="s">
        <v>18</v>
      </c>
    </row>
    <row r="5" spans="1:9" ht="28.8" x14ac:dyDescent="0.3">
      <c r="A5" s="2" t="s">
        <v>19</v>
      </c>
      <c r="B5" s="2" t="s">
        <v>20</v>
      </c>
      <c r="C5" s="2" t="s">
        <v>8</v>
      </c>
      <c r="D5" s="2" t="s">
        <v>9</v>
      </c>
      <c r="E5" s="2">
        <v>4</v>
      </c>
      <c r="F5" s="2" t="s">
        <v>10</v>
      </c>
    </row>
    <row r="6" spans="1:9" ht="28.8" x14ac:dyDescent="0.3">
      <c r="A6" s="2" t="s">
        <v>21</v>
      </c>
      <c r="B6" s="2" t="s">
        <v>22</v>
      </c>
      <c r="C6" s="2" t="s">
        <v>23</v>
      </c>
      <c r="D6" s="2" t="s">
        <v>24</v>
      </c>
      <c r="E6" s="2">
        <v>1</v>
      </c>
      <c r="F6" s="2" t="s">
        <v>10</v>
      </c>
    </row>
    <row r="7" spans="1:9" x14ac:dyDescent="0.3">
      <c r="A7" s="2" t="s">
        <v>25</v>
      </c>
      <c r="B7" s="2" t="s">
        <v>26</v>
      </c>
      <c r="C7" s="2" t="s">
        <v>13</v>
      </c>
      <c r="D7" s="2" t="s">
        <v>14</v>
      </c>
      <c r="E7" s="2">
        <v>6</v>
      </c>
      <c r="F7" s="2" t="s">
        <v>10</v>
      </c>
    </row>
    <row r="8" spans="1:9" ht="43.2" x14ac:dyDescent="0.3">
      <c r="A8" s="2" t="s">
        <v>27</v>
      </c>
      <c r="B8" s="2" t="s">
        <v>28</v>
      </c>
      <c r="C8" s="2" t="s">
        <v>8</v>
      </c>
      <c r="D8" s="2" t="s">
        <v>17</v>
      </c>
      <c r="E8" s="2">
        <v>15</v>
      </c>
      <c r="F8" s="2" t="s">
        <v>29</v>
      </c>
    </row>
    <row r="9" spans="1:9" ht="28.8" x14ac:dyDescent="0.3">
      <c r="A9" s="2" t="s">
        <v>30</v>
      </c>
      <c r="B9" s="2" t="s">
        <v>31</v>
      </c>
      <c r="C9" s="2" t="s">
        <v>23</v>
      </c>
      <c r="D9" s="2" t="s">
        <v>24</v>
      </c>
      <c r="E9" s="2">
        <v>3</v>
      </c>
      <c r="F9" s="2" t="s">
        <v>10</v>
      </c>
    </row>
    <row r="10" spans="1:9" ht="28.8" x14ac:dyDescent="0.3">
      <c r="A10" s="2" t="s">
        <v>32</v>
      </c>
      <c r="B10" s="2" t="s">
        <v>33</v>
      </c>
      <c r="C10" s="2" t="s">
        <v>23</v>
      </c>
      <c r="D10" s="2" t="s">
        <v>9</v>
      </c>
      <c r="E10" s="2">
        <v>10</v>
      </c>
      <c r="F10" s="2" t="s">
        <v>34</v>
      </c>
    </row>
    <row r="11" spans="1:9" ht="28.8" x14ac:dyDescent="0.3">
      <c r="A11" s="2" t="s">
        <v>35</v>
      </c>
      <c r="B11" s="2" t="s">
        <v>36</v>
      </c>
      <c r="C11" s="2" t="s">
        <v>8</v>
      </c>
      <c r="D11" s="2" t="s">
        <v>14</v>
      </c>
      <c r="E11" s="2">
        <v>7</v>
      </c>
      <c r="F11" s="2" t="s">
        <v>10</v>
      </c>
    </row>
    <row r="12" spans="1:9" ht="28.8" x14ac:dyDescent="0.3">
      <c r="A12" s="2" t="s">
        <v>37</v>
      </c>
      <c r="B12" s="2" t="s">
        <v>7</v>
      </c>
      <c r="C12" s="2" t="s">
        <v>13</v>
      </c>
      <c r="D12" s="2" t="s">
        <v>17</v>
      </c>
      <c r="E12" s="2">
        <v>9</v>
      </c>
      <c r="F12" s="2" t="s">
        <v>10</v>
      </c>
    </row>
    <row r="13" spans="1:9" ht="28.8" x14ac:dyDescent="0.3">
      <c r="A13" s="2" t="s">
        <v>38</v>
      </c>
      <c r="B13" s="2" t="s">
        <v>12</v>
      </c>
      <c r="C13" s="2" t="s">
        <v>8</v>
      </c>
      <c r="D13" s="2" t="s">
        <v>14</v>
      </c>
      <c r="E13" s="2">
        <v>14</v>
      </c>
      <c r="F13" s="2" t="s">
        <v>29</v>
      </c>
    </row>
    <row r="14" spans="1:9" ht="28.8" x14ac:dyDescent="0.3">
      <c r="A14" s="2" t="s">
        <v>39</v>
      </c>
      <c r="B14" s="2" t="s">
        <v>16</v>
      </c>
      <c r="C14" s="2" t="s">
        <v>13</v>
      </c>
      <c r="D14" s="2" t="s">
        <v>9</v>
      </c>
      <c r="E14" s="2">
        <v>11</v>
      </c>
      <c r="F14" s="2" t="s">
        <v>18</v>
      </c>
    </row>
    <row r="15" spans="1:9" ht="28.8" x14ac:dyDescent="0.3">
      <c r="A15" s="2" t="s">
        <v>40</v>
      </c>
      <c r="B15" s="2" t="s">
        <v>20</v>
      </c>
      <c r="C15" s="2" t="s">
        <v>8</v>
      </c>
      <c r="D15" s="2" t="s">
        <v>24</v>
      </c>
      <c r="E15" s="2">
        <v>5</v>
      </c>
      <c r="F15" s="2" t="s">
        <v>10</v>
      </c>
    </row>
    <row r="16" spans="1:9" ht="28.8" x14ac:dyDescent="0.3">
      <c r="A16" s="2" t="s">
        <v>41</v>
      </c>
      <c r="B16" s="2" t="s">
        <v>22</v>
      </c>
      <c r="C16" s="2" t="s">
        <v>23</v>
      </c>
      <c r="D16" s="2" t="s">
        <v>17</v>
      </c>
      <c r="E16" s="2">
        <v>2</v>
      </c>
      <c r="F16" s="2" t="s">
        <v>10</v>
      </c>
    </row>
    <row r="17" spans="1:6" ht="43.2" x14ac:dyDescent="0.3">
      <c r="A17" s="2" t="s">
        <v>42</v>
      </c>
      <c r="B17" s="2" t="s">
        <v>28</v>
      </c>
      <c r="C17" s="2" t="s">
        <v>8</v>
      </c>
      <c r="D17" s="2" t="s">
        <v>14</v>
      </c>
      <c r="E17" s="2">
        <v>13</v>
      </c>
      <c r="F17" s="2" t="s">
        <v>34</v>
      </c>
    </row>
    <row r="18" spans="1:6" x14ac:dyDescent="0.3">
      <c r="A18" s="2" t="s">
        <v>43</v>
      </c>
      <c r="B18" s="2" t="s">
        <v>26</v>
      </c>
      <c r="C18" s="2" t="s">
        <v>13</v>
      </c>
      <c r="D18" s="2" t="s">
        <v>9</v>
      </c>
      <c r="E18" s="2">
        <v>6</v>
      </c>
      <c r="F18" s="2" t="s">
        <v>10</v>
      </c>
    </row>
    <row r="19" spans="1:6" ht="28.8" x14ac:dyDescent="0.3">
      <c r="A19" s="2" t="s">
        <v>44</v>
      </c>
      <c r="B19" s="2" t="s">
        <v>12</v>
      </c>
      <c r="C19" s="2" t="s">
        <v>8</v>
      </c>
      <c r="D19" s="2" t="s">
        <v>17</v>
      </c>
      <c r="E19" s="2">
        <v>16</v>
      </c>
      <c r="F19" s="2" t="s">
        <v>29</v>
      </c>
    </row>
    <row r="20" spans="1:6" ht="28.8" x14ac:dyDescent="0.3">
      <c r="A20" s="2" t="s">
        <v>45</v>
      </c>
      <c r="B20" s="2" t="s">
        <v>20</v>
      </c>
      <c r="C20" s="2" t="s">
        <v>8</v>
      </c>
      <c r="D20" s="2" t="s">
        <v>14</v>
      </c>
      <c r="E20" s="2">
        <v>8</v>
      </c>
      <c r="F20" s="2" t="s">
        <v>10</v>
      </c>
    </row>
    <row r="21" spans="1:6" ht="28.8" x14ac:dyDescent="0.3">
      <c r="A21" s="2" t="s">
        <v>46</v>
      </c>
      <c r="B21" s="2" t="s">
        <v>33</v>
      </c>
      <c r="C21" s="2" t="s">
        <v>23</v>
      </c>
      <c r="D21" s="2" t="s">
        <v>24</v>
      </c>
      <c r="E21" s="2">
        <v>9</v>
      </c>
      <c r="F21" s="2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7723-8408-402D-9D93-43FC23C3DE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3B9D-7DDF-4144-A263-7CEE71AD0CCA}">
  <dimension ref="A1:B6"/>
  <sheetViews>
    <sheetView workbookViewId="0">
      <selection activeCell="B2" sqref="A1:B6"/>
    </sheetView>
  </sheetViews>
  <sheetFormatPr defaultRowHeight="14.4" x14ac:dyDescent="0.3"/>
  <sheetData>
    <row r="1" spans="1:2" x14ac:dyDescent="0.3">
      <c r="A1" s="4" t="s">
        <v>49</v>
      </c>
    </row>
    <row r="2" spans="1:2" x14ac:dyDescent="0.3">
      <c r="A2" t="s">
        <v>47</v>
      </c>
      <c r="B2">
        <f>COUNTA([1]Data!A2:A21)</f>
        <v>20</v>
      </c>
    </row>
    <row r="3" spans="1:2" x14ac:dyDescent="0.3">
      <c r="A3" t="s">
        <v>50</v>
      </c>
      <c r="B3">
        <f>IFERROR(AVERAGE(Sheet1!E2:E21),"-")</f>
        <v>8.1999999999999993</v>
      </c>
    </row>
    <row r="4" spans="1:2" x14ac:dyDescent="0.3">
      <c r="A4" t="s">
        <v>48</v>
      </c>
      <c r="B4">
        <f>COUNTIF(Sheet1!C2:C21,"High")</f>
        <v>10</v>
      </c>
    </row>
    <row r="5" spans="1:2" x14ac:dyDescent="0.3">
      <c r="A5" t="s">
        <v>51</v>
      </c>
      <c r="B5">
        <f>COUNTIF(Sheet1!G2:G21,"Yes")</f>
        <v>0</v>
      </c>
    </row>
    <row r="6" spans="1:2" x14ac:dyDescent="0.3">
      <c r="A6" t="s">
        <v>52</v>
      </c>
      <c r="B6">
        <f>IF(B2=0,"-",B5/B2)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YOGESHWARAN T</dc:creator>
  <cp:lastModifiedBy>YOGESHWARAN T</cp:lastModifiedBy>
  <dcterms:created xsi:type="dcterms:W3CDTF">2025-12-02T13:38:23Z</dcterms:created>
  <dcterms:modified xsi:type="dcterms:W3CDTF">2025-12-02T14:19:45Z</dcterms:modified>
</cp:coreProperties>
</file>